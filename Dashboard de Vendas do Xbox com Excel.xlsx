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4fd1ddbfbd47fb/Área de Trabalho/PASTA DE ESTUDOS/DIO/Excel com Inteligência Artificial/"/>
    </mc:Choice>
  </mc:AlternateContent>
  <xr:revisionPtr revIDLastSave="415" documentId="6_{3B3CF92F-66AB-4F34-9111-589E4492866A}" xr6:coauthVersionLast="47" xr6:coauthVersionMax="47" xr10:uidLastSave="{037FC25E-64F9-4224-AD11-325C6917BBCD}"/>
  <bookViews>
    <workbookView xWindow="-28920" yWindow="-2370" windowWidth="29040" windowHeight="1539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" l="1"/>
  <c r="E21" i="3"/>
</calcChain>
</file>

<file path=xl/sharedStrings.xml><?xml version="1.0" encoding="utf-8"?>
<sst xmlns="http://schemas.openxmlformats.org/spreadsheetml/2006/main" count="2024" uniqueCount="326">
  <si>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</si>
  <si>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</si>
  <si>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</si>
  <si>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</si>
  <si>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</si>
  <si>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</si>
  <si>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</si>
  <si>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</si>
  <si>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</si>
  <si>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</si>
  <si>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</si>
  <si>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</si>
  <si>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</si>
  <si>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</si>
  <si>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</si>
  <si>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</si>
  <si>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</si>
  <si>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</si>
  <si>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</si>
  <si>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</si>
  <si>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</si>
  <si>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</si>
  <si>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</si>
  <si>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</si>
  <si>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</si>
  <si>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</si>
  <si>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</si>
  <si>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</si>
  <si>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</si>
  <si>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</si>
  <si>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</si>
  <si>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</si>
  <si>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</si>
  <si>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</si>
  <si>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</si>
  <si>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</si>
  <si>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</si>
  <si>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</si>
  <si>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</si>
  <si>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</si>
  <si>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</si>
  <si>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</si>
  <si>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</si>
  <si>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</si>
  <si>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</si>
  <si>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</si>
  <si>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</si>
  <si>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</si>
  <si>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</si>
  <si>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</si>
  <si>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</si>
  <si>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</si>
  <si>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</si>
  <si>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</si>
  <si>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</si>
  <si>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</si>
  <si>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</si>
  <si>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</si>
  <si>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</si>
  <si>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</si>
  <si>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</si>
  <si>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</si>
  <si>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</si>
  <si>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</si>
  <si>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</si>
  <si>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</si>
  <si>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</si>
  <si>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</si>
  <si>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</si>
  <si>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</si>
  <si>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</si>
  <si>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</si>
  <si>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</si>
  <si>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</si>
  <si>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</si>
  <si>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</si>
  <si>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</si>
  <si>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</si>
  <si>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</si>
  <si>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</si>
  <si>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</si>
  <si>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</si>
  <si>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</si>
  <si>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</si>
  <si>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</si>
  <si>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</si>
  <si>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</si>
  <si>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</si>
  <si>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</si>
  <si>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</si>
  <si>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</si>
  <si>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</si>
  <si>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</si>
  <si>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</si>
  <si>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</si>
  <si>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</si>
  <si>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</si>
  <si>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</si>
  <si>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</si>
  <si>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</si>
  <si>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</si>
  <si>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</si>
  <si>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</si>
  <si>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</si>
  <si>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</si>
  <si>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</si>
  <si>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</si>
  <si>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</si>
  <si>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</si>
  <si>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</si>
  <si>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</si>
  <si>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</si>
  <si>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</si>
  <si>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</si>
  <si>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</si>
  <si>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</si>
  <si>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</si>
  <si>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</si>
  <si>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</si>
  <si>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</si>
  <si>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</si>
  <si>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</si>
  <si>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</si>
  <si>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</si>
  <si>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</si>
  <si>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</si>
  <si>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</si>
  <si>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</si>
  <si>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</si>
  <si>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</si>
  <si>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</si>
  <si>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</si>
  <si>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</si>
  <si>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</si>
  <si>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</si>
  <si>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</si>
  <si>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</si>
  <si>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</si>
  <si>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</si>
  <si>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</si>
  <si>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</si>
  <si>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</si>
  <si>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</si>
  <si>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</si>
  <si>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</si>
  <si>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</si>
  <si>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</si>
  <si>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</si>
  <si>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</si>
  <si>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</si>
  <si>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</si>
  <si>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</si>
  <si>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</si>
  <si>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</si>
  <si>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</si>
  <si>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</si>
  <si>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</si>
  <si>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</si>
  <si>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</si>
  <si>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</si>
  <si>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</si>
  <si>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</si>
  <si>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</si>
  <si>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</si>
  <si>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</si>
  <si>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</si>
  <si>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</si>
  <si>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</si>
  <si>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</si>
  <si>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</si>
  <si>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</si>
  <si>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</si>
  <si>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</si>
  <si>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</si>
  <si>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</si>
  <si>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</si>
  <si>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</si>
  <si>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</si>
  <si>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</si>
  <si>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</si>
  <si>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</si>
  <si>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</si>
  <si>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</si>
  <si>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</si>
  <si>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</si>
  <si>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</si>
  <si>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</si>
  <si>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</si>
  <si>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</si>
  <si>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</si>
  <si>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</si>
  <si>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</si>
  <si>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</si>
  <si>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</si>
  <si>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</si>
  <si>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</si>
  <si>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</si>
  <si>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</si>
  <si>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</si>
  <si>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</si>
  <si>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</si>
  <si>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</si>
  <si>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</si>
  <si>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</si>
  <si>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</si>
  <si>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</si>
  <si>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</si>
  <si>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</si>
  <si>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</si>
  <si>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</si>
  <si>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</si>
  <si>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</si>
  <si>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</si>
  <si>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</si>
  <si>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</si>
  <si>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</si>
  <si>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</si>
  <si>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</si>
  <si>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</si>
  <si>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</si>
  <si>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</si>
  <si>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</si>
  <si>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</si>
  <si>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</si>
  <si>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</si>
  <si>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</si>
  <si>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</si>
  <si>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</si>
  <si>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</si>
  <si>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</si>
  <si>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</si>
  <si>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</si>
  <si>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</si>
  <si>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</si>
  <si>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</si>
  <si>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</si>
  <si>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</si>
  <si>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</si>
  <si>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</si>
  <si>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</si>
  <si>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</si>
  <si>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</si>
  <si>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</si>
  <si>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</si>
  <si>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</si>
  <si>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</si>
  <si>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</si>
  <si>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</si>
  <si>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</si>
  <si>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</si>
  <si>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</si>
  <si>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</si>
  <si>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</si>
  <si>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</si>
  <si>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</si>
  <si>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</si>
  <si>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</si>
  <si>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</si>
  <si>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</si>
  <si>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</si>
  <si>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</si>
  <si>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</si>
  <si>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</si>
  <si>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</si>
  <si>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</si>
  <si>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</si>
  <si>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</si>
  <si>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</si>
  <si>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</si>
  <si>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</si>
  <si>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</si>
  <si>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</si>
  <si>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</si>
  <si>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</si>
  <si>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</si>
  <si>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</si>
  <si>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</si>
  <si>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</si>
  <si>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</si>
  <si>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</si>
  <si>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</si>
  <si>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</si>
  <si>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</si>
  <si>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</si>
  <si>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</si>
  <si>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</si>
  <si>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</si>
  <si>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</si>
  <si>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</si>
  <si>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</si>
  <si>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</si>
  <si>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</si>
  <si>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</si>
  <si>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</si>
  <si>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</si>
  <si>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</si>
  <si>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</si>
  <si>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</si>
  <si>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</si>
  <si>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</si>
  <si>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</si>
  <si>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</si>
  <si>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</si>
  <si>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</si>
  <si>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</si>
  <si>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</si>
  <si>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</si>
  <si>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</si>
  <si>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</si>
  <si>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</si>
  <si>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</si>
  <si>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</si>
  <si>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</si>
  <si>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</si>
  <si>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</si>
  <si>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</si>
  <si>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rPr>
        <b/>
        <sz val="16"/>
        <color theme="1"/>
        <rFont val="Aptos Narrow"/>
        <family val="2"/>
        <scheme val="minor"/>
      </rPr>
      <t>Pergunta de Negócio 1</t>
    </r>
    <r>
      <rPr>
        <sz val="16"/>
        <color theme="1"/>
        <rFont val="Aptos Narrow"/>
        <family val="2"/>
        <scheme val="minor"/>
      </rPr>
      <t xml:space="preserve"> - Qual o faturamento </t>
    </r>
    <r>
      <rPr>
        <b/>
        <sz val="16"/>
        <color theme="1"/>
        <rFont val="Aptos Narrow"/>
        <family val="2"/>
        <scheme val="minor"/>
      </rPr>
      <t xml:space="preserve">Total de Vendas </t>
    </r>
    <r>
      <rPr>
        <sz val="16"/>
        <color theme="1"/>
        <rFont val="Aptos Narrow"/>
        <family val="2"/>
        <scheme val="minor"/>
      </rPr>
      <t xml:space="preserve">de  </t>
    </r>
    <r>
      <rPr>
        <b/>
        <sz val="16"/>
        <color theme="1"/>
        <rFont val="Aptos Narrow"/>
        <family val="2"/>
        <scheme val="minor"/>
      </rPr>
      <t xml:space="preserve">Planos Anuais </t>
    </r>
    <r>
      <rPr>
        <sz val="16"/>
        <color theme="1"/>
        <rFont val="Aptos Narrow"/>
        <family val="2"/>
        <scheme val="minor"/>
      </rPr>
      <t>(contendo todas as assinaturas agregadas)</t>
    </r>
  </si>
  <si>
    <r>
      <rPr>
        <b/>
        <sz val="16"/>
        <color theme="1"/>
        <rFont val="Aptos Narrow"/>
        <family val="2"/>
        <scheme val="minor"/>
      </rPr>
      <t xml:space="preserve">Pergunta de Negócio 2 </t>
    </r>
    <r>
      <rPr>
        <sz val="16"/>
        <color theme="1"/>
        <rFont val="Aptos Narrow"/>
        <family val="2"/>
        <scheme val="minor"/>
      </rPr>
      <t xml:space="preserve">- Qual o Faturamento </t>
    </r>
    <r>
      <rPr>
        <b/>
        <sz val="16"/>
        <color theme="1"/>
        <rFont val="Aptos Narrow"/>
        <family val="2"/>
        <scheme val="minor"/>
      </rPr>
      <t xml:space="preserve">Total de Vendas </t>
    </r>
    <r>
      <rPr>
        <sz val="16"/>
        <color theme="1"/>
        <rFont val="Aptos Narrow"/>
        <family val="2"/>
        <scheme val="minor"/>
      </rPr>
      <t xml:space="preserve">de </t>
    </r>
    <r>
      <rPr>
        <b/>
        <sz val="16"/>
        <color theme="1"/>
        <rFont val="Aptos Narrow"/>
        <family val="2"/>
        <scheme val="minor"/>
      </rPr>
      <t>Planos Anuais</t>
    </r>
    <r>
      <rPr>
        <sz val="16"/>
        <color theme="1"/>
        <rFont val="Aptos Narrow"/>
        <family val="2"/>
        <scheme val="minor"/>
      </rPr>
      <t>, separado por auto renovação não é por auto renovação.</t>
    </r>
  </si>
  <si>
    <t/>
  </si>
  <si>
    <r>
      <rPr>
        <b/>
        <sz val="16"/>
        <color theme="1"/>
        <rFont val="Aptos Narrow"/>
        <family val="2"/>
        <scheme val="minor"/>
      </rPr>
      <t xml:space="preserve">Pergunta de Negócio 3 - </t>
    </r>
    <r>
      <rPr>
        <sz val="16"/>
        <color theme="1"/>
        <rFont val="Aptos Narrow"/>
        <family val="2"/>
        <scheme val="minor"/>
      </rPr>
      <t xml:space="preserve">Total de vendas de assinaturas do </t>
    </r>
    <r>
      <rPr>
        <b/>
        <sz val="16"/>
        <color theme="1"/>
        <rFont val="Aptos Narrow"/>
        <family val="2"/>
        <scheme val="minor"/>
      </rPr>
      <t>Ea Play</t>
    </r>
  </si>
  <si>
    <t>Soma de EA Play Season Pass</t>
  </si>
  <si>
    <r>
      <rPr>
        <b/>
        <sz val="16"/>
        <color theme="1"/>
        <rFont val="Aptos Narrow"/>
        <family val="2"/>
        <scheme val="minor"/>
      </rPr>
      <t xml:space="preserve">Pergunta de Negócio 3 - </t>
    </r>
    <r>
      <rPr>
        <sz val="16"/>
        <color theme="1"/>
        <rFont val="Aptos Narrow"/>
        <family val="2"/>
        <scheme val="minor"/>
      </rPr>
      <t xml:space="preserve">Total de vendas de assinaturas do </t>
    </r>
    <r>
      <rPr>
        <b/>
        <sz val="16"/>
        <color theme="1"/>
        <rFont val="Aptos Narrow"/>
        <family val="2"/>
        <scheme val="minor"/>
      </rPr>
      <t>Minecraft Season Pass</t>
    </r>
  </si>
  <si>
    <t>Soma de Minecraft Season Pass Price</t>
  </si>
  <si>
    <t xml:space="preserve">         XBOX GAME PASS SUBSCRIPTIONS  SALES</t>
  </si>
  <si>
    <t>&gt; Bem Vindo, Charles</t>
  </si>
  <si>
    <t xml:space="preserve">     Calculation Period: 01/01/2026 - 31/12/2026 | Update Date: 22/02/2026 08:30:00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</si>
</sst>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3"/>
      <name val="Segoe UI"/>
      <family val="2"/>
    </font>
    <font>
      <b/>
      <sz val="24"/>
      <color rgb="FF2AE6B1"/>
      <name val="Segoe UI"/>
      <family val="2"/>
    </font>
    <font>
      <b/>
      <sz val="16"/>
      <color rgb="FF22C55E"/>
      <name val="Segoe UI"/>
      <family val="2"/>
    </font>
    <font>
      <b/>
      <sz val="11"/>
      <color theme="0"/>
      <name val="Segoe UI"/>
      <family val="2"/>
    </font>
    <font>
      <b/>
      <sz val="11"/>
      <color theme="0" tint="-0.24997711111789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2" xfId="1" applyFont="1" applyBorder="1"/>
    <xf numFmtId="0" fontId="6" fillId="0" borderId="2" xfId="1" applyFont="1" applyBorder="1"/>
    <xf numFmtId="0" fontId="0" fillId="0" borderId="0" xfId="0" quotePrefix="1"/>
    <xf numFmtId="0" fontId="0" fillId="0" borderId="0" xfId="0" applyNumberFormat="1"/>
    <xf numFmtId="44" fontId="0" fillId="0" borderId="0" xfId="2" applyFont="1"/>
    <xf numFmtId="0" fontId="8" fillId="0" borderId="2" xfId="1" applyFont="1" applyBorder="1"/>
    <xf numFmtId="164" fontId="0" fillId="0" borderId="0" xfId="0" applyNumberFormat="1"/>
    <xf numFmtId="0" fontId="0" fillId="4" borderId="0" xfId="0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10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2541D0D-82D8-4CC2-9DC4-8A8E1E8D571F}">
      <tableStyleElement type="wholeTable" dxfId="1"/>
      <tableStyleElement type="headerRow" dxfId="0"/>
    </tableStyle>
  </tableStyles>
  <colors>
    <mruColors>
      <color rgb="FF22C55E"/>
      <color rgb="FF9BC848"/>
      <color rgb="FFFFFFFF"/>
      <color rgb="FF5BF6A8"/>
      <color rgb="FF2AE6B1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Excel.xlsx]C̳álculos!tbl_annual_total</c:name>
    <c:fmtId val="6"/>
  </c:pivotSource>
  <c:chart>
    <c:autoTitleDeleted val="1"/>
    <c:pivotFmts>
      <c:pivotFmt>
        <c:idx val="0"/>
        <c:spPr>
          <a:solidFill>
            <a:srgbClr val="5BF6A8">
              <a:alpha val="89804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>
              <a:alpha val="89804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>
              <a:alpha val="89804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>
              <a:alpha val="89804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513623982355621E-2"/>
          <c:y val="0.10229599378408488"/>
          <c:w val="0.8479932783008652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>
                <a:alpha val="89804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6-4B9D-9438-AD79688A2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6256736"/>
        <c:axId val="1106263936"/>
      </c:barChart>
      <c:catAx>
        <c:axId val="110625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6263936"/>
        <c:crosses val="autoZero"/>
        <c:auto val="1"/>
        <c:lblAlgn val="ctr"/>
        <c:lblOffset val="100"/>
        <c:noMultiLvlLbl val="0"/>
      </c:catAx>
      <c:valAx>
        <c:axId val="110626393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0625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76200</xdr:rowOff>
    </xdr:from>
    <xdr:to>
      <xdr:col>2</xdr:col>
      <xdr:colOff>482820</xdr:colOff>
      <xdr:row>3</xdr:row>
      <xdr:rowOff>123826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5FD713-57B3-4B35-BB53-88EB0B5C2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78" t="23842" r="74370" b="18537"/>
        <a:stretch>
          <a:fillRect/>
        </a:stretch>
      </xdr:blipFill>
      <xdr:spPr>
        <a:xfrm>
          <a:off x="1866900" y="323850"/>
          <a:ext cx="692370" cy="8096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</xdr:row>
      <xdr:rowOff>47624</xdr:rowOff>
    </xdr:from>
    <xdr:to>
      <xdr:col>0</xdr:col>
      <xdr:colOff>1828801</xdr:colOff>
      <xdr:row>12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F0AB4B9-514E-479B-902A-D6ABDE62C2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476374"/>
              <a:ext cx="1819276" cy="1466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180976</xdr:colOff>
      <xdr:row>16</xdr:row>
      <xdr:rowOff>66675</xdr:rowOff>
    </xdr:from>
    <xdr:to>
      <xdr:col>20</xdr:col>
      <xdr:colOff>570680</xdr:colOff>
      <xdr:row>38</xdr:row>
      <xdr:rowOff>81912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2B5375DF-4E00-322E-D838-F8F5B305E26A}"/>
            </a:ext>
          </a:extLst>
        </xdr:cNvPr>
        <xdr:cNvGrpSpPr/>
      </xdr:nvGrpSpPr>
      <xdr:grpSpPr>
        <a:xfrm>
          <a:off x="2257426" y="3695700"/>
          <a:ext cx="14829604" cy="4206237"/>
          <a:chOff x="2707464" y="1209126"/>
          <a:chExt cx="6881089" cy="4448702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30D7EAE-63BC-3E7D-D150-1B048523AC66}"/>
              </a:ext>
            </a:extLst>
          </xdr:cNvPr>
          <xdr:cNvSpPr/>
        </xdr:nvSpPr>
        <xdr:spPr>
          <a:xfrm>
            <a:off x="2707464" y="1209126"/>
            <a:ext cx="6877050" cy="4019550"/>
          </a:xfrm>
          <a:prstGeom prst="roundRect">
            <a:avLst>
              <a:gd name="adj" fmla="val 802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noFill/>
              </a:ln>
              <a:solidFill>
                <a:schemeClr val="bg1"/>
              </a:solidFill>
            </a:endParaRPr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A453CD4D-3A0B-0008-8946-1A644942F913}"/>
              </a:ext>
            </a:extLst>
          </xdr:cNvPr>
          <xdr:cNvGraphicFramePr>
            <a:graphicFrameLocks/>
          </xdr:cNvGraphicFramePr>
        </xdr:nvGraphicFramePr>
        <xdr:xfrm>
          <a:off x="2892478" y="1904978"/>
          <a:ext cx="6696075" cy="3752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2</xdr:col>
      <xdr:colOff>133349</xdr:colOff>
      <xdr:row>7</xdr:row>
      <xdr:rowOff>71438</xdr:rowOff>
    </xdr:from>
    <xdr:to>
      <xdr:col>8</xdr:col>
      <xdr:colOff>323850</xdr:colOff>
      <xdr:row>14</xdr:row>
      <xdr:rowOff>138112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C0BDADC6-6F0D-9E7F-5966-4950C6C33AF9}"/>
            </a:ext>
          </a:extLst>
        </xdr:cNvPr>
        <xdr:cNvGrpSpPr/>
      </xdr:nvGrpSpPr>
      <xdr:grpSpPr>
        <a:xfrm>
          <a:off x="2209799" y="1757363"/>
          <a:ext cx="7486651" cy="1628774"/>
          <a:chOff x="2657474" y="1190625"/>
          <a:chExt cx="7486651" cy="1628774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E878C124-E8E5-6655-CC9E-BB8222EB293E}"/>
              </a:ext>
            </a:extLst>
          </xdr:cNvPr>
          <xdr:cNvSpPr/>
        </xdr:nvSpPr>
        <xdr:spPr>
          <a:xfrm>
            <a:off x="2657474" y="1200150"/>
            <a:ext cx="7477125" cy="1600200"/>
          </a:xfrm>
          <a:prstGeom prst="roundRect">
            <a:avLst>
              <a:gd name="adj" fmla="val 8929"/>
            </a:avLst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1"/>
          </a:p>
        </xdr:txBody>
      </xdr:sp>
      <xdr:sp macro="" textlink="C̳álculos!E21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5F58C07-C3FE-82B9-32ED-E0995C11A36C}"/>
              </a:ext>
            </a:extLst>
          </xdr:cNvPr>
          <xdr:cNvSpPr/>
        </xdr:nvSpPr>
        <xdr:spPr>
          <a:xfrm>
            <a:off x="5143500" y="1576386"/>
            <a:ext cx="3733800" cy="10858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B890705-1BC3-4BB3-962B-10D13C070AFD}" type="TxLink">
              <a:rPr lang="en-US" sz="44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400" b="1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14569EED-5DAA-45AA-8BD5-F1F171D2DE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71925" y="1457324"/>
            <a:ext cx="1400176" cy="1362075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952B1B3F-D6FB-4094-5D91-3551A8E6B4BC}"/>
              </a:ext>
            </a:extLst>
          </xdr:cNvPr>
          <xdr:cNvSpPr/>
        </xdr:nvSpPr>
        <xdr:spPr>
          <a:xfrm>
            <a:off x="2657474" y="1190625"/>
            <a:ext cx="7486651" cy="3905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2000" b="1" baseline="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</a:p>
          <a:p>
            <a:pPr algn="ctr"/>
            <a:endParaRPr lang="pt-BR" sz="20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8</xdr:col>
      <xdr:colOff>504825</xdr:colOff>
      <xdr:row>7</xdr:row>
      <xdr:rowOff>80963</xdr:rowOff>
    </xdr:from>
    <xdr:to>
      <xdr:col>20</xdr:col>
      <xdr:colOff>419100</xdr:colOff>
      <xdr:row>14</xdr:row>
      <xdr:rowOff>138113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7BEA084-7A2A-1B9D-8B0C-0870182EEEC2}"/>
            </a:ext>
          </a:extLst>
        </xdr:cNvPr>
        <xdr:cNvGrpSpPr/>
      </xdr:nvGrpSpPr>
      <xdr:grpSpPr>
        <a:xfrm>
          <a:off x="9877425" y="1766888"/>
          <a:ext cx="7058025" cy="1619250"/>
          <a:chOff x="10315575" y="1209675"/>
          <a:chExt cx="7620000" cy="1591939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B1ED4C15-33DB-46A6-A9DD-03E42CD7F95B}"/>
              </a:ext>
            </a:extLst>
          </xdr:cNvPr>
          <xdr:cNvGrpSpPr/>
        </xdr:nvGrpSpPr>
        <xdr:grpSpPr>
          <a:xfrm>
            <a:off x="10315575" y="1209675"/>
            <a:ext cx="7620000" cy="1591939"/>
            <a:chOff x="2657474" y="1190625"/>
            <a:chExt cx="7486651" cy="1609725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B77622B-91E5-00E4-F835-710E740CD032}"/>
                </a:ext>
              </a:extLst>
            </xdr:cNvPr>
            <xdr:cNvSpPr/>
          </xdr:nvSpPr>
          <xdr:spPr>
            <a:xfrm>
              <a:off x="2657474" y="1200150"/>
              <a:ext cx="7477125" cy="1600200"/>
            </a:xfrm>
            <a:prstGeom prst="roundRect">
              <a:avLst>
                <a:gd name="adj" fmla="val 8929"/>
              </a:avLst>
            </a:prstGeom>
            <a:solidFill>
              <a:srgbClr val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 b="1"/>
            </a:p>
          </xdr:txBody>
        </xdr:sp>
        <xdr:sp macro="" textlink="C̳álculos!E31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A5B64E9A-3672-E244-CDC1-5DD8F7F5349B}"/>
                </a:ext>
              </a:extLst>
            </xdr:cNvPr>
            <xdr:cNvSpPr/>
          </xdr:nvSpPr>
          <xdr:spPr>
            <a:xfrm>
              <a:off x="5486400" y="1604961"/>
              <a:ext cx="3733800" cy="10858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582AEC8-7751-4C3E-84CD-90F629617025}" type="TxLink">
                <a:rPr lang="en-US" sz="44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R$ 940,00 </a:t>
              </a:fld>
              <a:endParaRPr lang="pt-BR" sz="44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6B7083E8-6775-A88D-8A32-72BEC0B348D1}"/>
                </a:ext>
              </a:extLst>
            </xdr:cNvPr>
            <xdr:cNvSpPr/>
          </xdr:nvSpPr>
          <xdr:spPr>
            <a:xfrm>
              <a:off x="2657474" y="1190625"/>
              <a:ext cx="7486651" cy="3905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 b="1">
                  <a:solidFill>
                    <a:srgbClr val="FFFFF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2000" b="1" baseline="0">
                  <a:solidFill>
                    <a:srgbClr val="FFFFF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</a:p>
            <a:p>
              <a:pPr algn="ctr"/>
              <a:endParaRPr lang="pt-BR" sz="2000" b="1" baseline="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endParaRPr lang="pt-BR" sz="2000" b="1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6119A803-37B9-4434-B8F0-5CFFEBD76DF5}"/>
              </a:ext>
            </a:extLst>
          </xdr:cNvPr>
          <xdr:cNvGrpSpPr/>
        </xdr:nvGrpSpPr>
        <xdr:grpSpPr>
          <a:xfrm>
            <a:off x="11306174" y="1743075"/>
            <a:ext cx="1724025" cy="819150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FC0DC094-8635-2937-D9AC-BB79BBF7E9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C22C47CF-08D7-6E86-D12C-5481570D68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171450</xdr:colOff>
      <xdr:row>15</xdr:row>
      <xdr:rowOff>114300</xdr:rowOff>
    </xdr:from>
    <xdr:to>
      <xdr:col>20</xdr:col>
      <xdr:colOff>571501</xdr:colOff>
      <xdr:row>18</xdr:row>
      <xdr:rowOff>104775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A3001AA0-D5F1-4FC8-A791-482B39ADF546}"/>
            </a:ext>
          </a:extLst>
        </xdr:cNvPr>
        <xdr:cNvSpPr/>
      </xdr:nvSpPr>
      <xdr:spPr>
        <a:xfrm>
          <a:off x="2247900" y="3533775"/>
          <a:ext cx="14839951" cy="5619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</a:t>
          </a:r>
          <a:r>
            <a:rPr lang="pt-BR" sz="2000" b="1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XBOX GAME PASS</a:t>
          </a:r>
        </a:p>
        <a:p>
          <a:pPr algn="ctr"/>
          <a:endParaRPr lang="pt-BR" sz="20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514350</xdr:colOff>
      <xdr:row>0</xdr:row>
      <xdr:rowOff>161925</xdr:rowOff>
    </xdr:from>
    <xdr:to>
      <xdr:col>0</xdr:col>
      <xdr:colOff>1209675</xdr:colOff>
      <xdr:row>2</xdr:row>
      <xdr:rowOff>47625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09A7DF06-F224-48DB-8D0A-C1F1A735F96D}"/>
            </a:ext>
          </a:extLst>
        </xdr:cNvPr>
        <xdr:cNvSpPr/>
      </xdr:nvSpPr>
      <xdr:spPr>
        <a:xfrm>
          <a:off x="514350" y="16192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uglas Alencar" refreshedDate="46225.812222685185" createdVersion="8" refreshedVersion="8" minRefreshableVersion="3" recordCount="295" xr:uid="{81796DDB-D4E1-4F1B-975B-6454E9920EA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902617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4A354-6CF9-46B6-938A-6FE38F3CF1CA}" name="Tabela dinâ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50F6E-A08F-461E-A7C7-69E67BB8ADAF}" name="tbl_ea_seasonpass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7:C2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9B2AD-5537-43CC-98BB-5C7133F0853E}" name="tbl_annual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7:C10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4A91881-43D5-4C27-BDF2-9A2FC87DE900}" sourceName="Subscription Type">
  <pivotTables>
    <pivotTable tabId="3" name="tbl_annual_total"/>
    <pivotTable tabId="3" name="tbl_ea_seasonpass"/>
    <pivotTable tabId="3" name="Tabela dinâmica4"/>
  </pivotTables>
  <data>
    <tabular pivotCacheId="49026172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345E2BD-8B51-41E2-A45B-8F7FFC145A9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: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Normal="100" workbookViewId="0">
      <selection activeCell="E31" sqref="E31"/>
    </sheetView>
  </sheetViews>
  <sheetFormatPr defaultRowHeight="15" x14ac:dyDescent="0.25"/>
  <cols>
    <col min="1" max="1" width="17.85546875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7" bestFit="1" customWidth="1"/>
    <col min="7" max="7" width="22" bestFit="1" customWidth="1"/>
    <col min="8" max="9" width="23.85546875" bestFit="1" customWidth="1"/>
    <col min="10" max="10" width="21.28515625" bestFit="1" customWidth="1"/>
    <col min="11" max="11" width="25.5703125" bestFit="1" customWidth="1"/>
    <col min="12" max="12" width="13" bestFit="1" customWidth="1"/>
    <col min="13" max="13" width="15.7109375" bestFit="1" customWidth="1"/>
    <col min="14" max="14" width="10.855468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J31"/>
  <sheetViews>
    <sheetView showGridLines="0" topLeftCell="A3" workbookViewId="0">
      <selection activeCell="E31" sqref="E3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2.28515625" bestFit="1" customWidth="1"/>
    <col min="5" max="5" width="12.28515625" customWidth="1"/>
    <col min="6" max="6" width="12.28515625" bestFit="1" customWidth="1"/>
    <col min="7" max="7" width="19.140625" bestFit="1" customWidth="1"/>
    <col min="8" max="8" width="57.28515625" customWidth="1"/>
    <col min="9" max="9" width="59.140625" customWidth="1"/>
    <col min="10" max="10" width="68.42578125" customWidth="1"/>
    <col min="11" max="12" width="35.140625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2" spans="1:10" ht="21" x14ac:dyDescent="0.25">
      <c r="B2" s="16" t="s">
        <v>316</v>
      </c>
      <c r="C2" s="16"/>
      <c r="D2" s="16"/>
      <c r="E2" s="16"/>
      <c r="F2" s="16"/>
      <c r="G2" s="16"/>
      <c r="H2" s="16"/>
      <c r="I2" s="15"/>
    </row>
    <row r="3" spans="1:10" ht="21" x14ac:dyDescent="0.25">
      <c r="A3" s="19" t="s">
        <v>318</v>
      </c>
      <c r="B3" s="16" t="s">
        <v>317</v>
      </c>
      <c r="C3" s="16"/>
      <c r="D3" s="16"/>
      <c r="E3" s="16"/>
      <c r="F3" s="16"/>
      <c r="G3" s="16"/>
      <c r="H3" s="16"/>
      <c r="I3" s="16"/>
    </row>
    <row r="4" spans="1:10" ht="21" x14ac:dyDescent="0.25">
      <c r="C4" s="15"/>
      <c r="D4" s="15"/>
      <c r="E4" s="15"/>
      <c r="F4" s="15"/>
      <c r="G4" s="15"/>
      <c r="H4" s="15"/>
      <c r="I4" s="15"/>
      <c r="J4" s="15"/>
    </row>
    <row r="5" spans="1:10" x14ac:dyDescent="0.25">
      <c r="B5" s="12" t="s">
        <v>16</v>
      </c>
      <c r="C5" t="s">
        <v>24</v>
      </c>
    </row>
    <row r="7" spans="1:10" x14ac:dyDescent="0.25">
      <c r="B7" s="12" t="s">
        <v>313</v>
      </c>
      <c r="C7" t="s">
        <v>315</v>
      </c>
    </row>
    <row r="8" spans="1:10" x14ac:dyDescent="0.25">
      <c r="B8" s="13" t="s">
        <v>23</v>
      </c>
      <c r="C8" s="14">
        <v>217</v>
      </c>
    </row>
    <row r="9" spans="1:10" x14ac:dyDescent="0.25">
      <c r="B9" s="13" t="s">
        <v>19</v>
      </c>
      <c r="C9" s="14">
        <v>1537</v>
      </c>
    </row>
    <row r="10" spans="1:10" x14ac:dyDescent="0.25">
      <c r="B10" s="13" t="s">
        <v>314</v>
      </c>
      <c r="C10" s="14">
        <v>1754</v>
      </c>
    </row>
    <row r="13" spans="1:10" ht="21" x14ac:dyDescent="0.25">
      <c r="B13" s="16" t="s">
        <v>319</v>
      </c>
      <c r="C13" s="16"/>
      <c r="D13" s="16"/>
      <c r="E13" s="16"/>
      <c r="F13" s="16"/>
      <c r="G13" s="16"/>
      <c r="H13" s="16"/>
      <c r="I13" s="16"/>
    </row>
    <row r="15" spans="1:10" x14ac:dyDescent="0.25">
      <c r="B15" s="12" t="s">
        <v>16</v>
      </c>
      <c r="C15" t="s">
        <v>24</v>
      </c>
    </row>
    <row r="17" spans="2:9" x14ac:dyDescent="0.25">
      <c r="B17" s="12" t="s">
        <v>313</v>
      </c>
      <c r="C17" t="s">
        <v>320</v>
      </c>
    </row>
    <row r="18" spans="2:9" x14ac:dyDescent="0.25">
      <c r="B18" s="13" t="s">
        <v>22</v>
      </c>
      <c r="C18" s="20">
        <v>0</v>
      </c>
    </row>
    <row r="19" spans="2:9" x14ac:dyDescent="0.25">
      <c r="B19" s="13" t="s">
        <v>26</v>
      </c>
      <c r="C19" s="20">
        <v>0</v>
      </c>
    </row>
    <row r="20" spans="2:9" x14ac:dyDescent="0.25">
      <c r="B20" s="13" t="s">
        <v>18</v>
      </c>
      <c r="C20" s="20">
        <v>600</v>
      </c>
    </row>
    <row r="21" spans="2:9" x14ac:dyDescent="0.25">
      <c r="B21" s="13" t="s">
        <v>314</v>
      </c>
      <c r="C21" s="20">
        <v>600</v>
      </c>
      <c r="E21" s="21">
        <f>GETPIVOTDATA("EA Play Season Pass
Price",$B$17)</f>
        <v>600</v>
      </c>
    </row>
    <row r="23" spans="2:9" ht="21" x14ac:dyDescent="0.25">
      <c r="B23" s="16" t="s">
        <v>321</v>
      </c>
      <c r="C23" s="16"/>
      <c r="D23" s="16"/>
      <c r="E23" s="16"/>
      <c r="F23" s="16"/>
      <c r="G23" s="16"/>
      <c r="H23" s="16"/>
      <c r="I23" s="16"/>
    </row>
    <row r="25" spans="2:9" x14ac:dyDescent="0.25">
      <c r="B25" s="12" t="s">
        <v>16</v>
      </c>
      <c r="C25" t="s">
        <v>24</v>
      </c>
    </row>
    <row r="27" spans="2:9" x14ac:dyDescent="0.25">
      <c r="B27" s="12" t="s">
        <v>313</v>
      </c>
      <c r="C27" t="s">
        <v>322</v>
      </c>
    </row>
    <row r="28" spans="2:9" x14ac:dyDescent="0.25">
      <c r="B28" s="13" t="s">
        <v>22</v>
      </c>
      <c r="C28" s="14">
        <v>0</v>
      </c>
    </row>
    <row r="29" spans="2:9" x14ac:dyDescent="0.25">
      <c r="B29" s="13" t="s">
        <v>26</v>
      </c>
      <c r="C29" s="14">
        <v>540</v>
      </c>
    </row>
    <row r="30" spans="2:9" x14ac:dyDescent="0.25">
      <c r="B30" s="13" t="s">
        <v>18</v>
      </c>
      <c r="C30" s="14">
        <v>400</v>
      </c>
    </row>
    <row r="31" spans="2:9" x14ac:dyDescent="0.25">
      <c r="B31" s="13" t="s">
        <v>314</v>
      </c>
      <c r="C31" s="14">
        <v>940</v>
      </c>
      <c r="E31" s="23">
        <f>GETPIVOTDATA("Minecraft Season Pass Price",$B$27)</f>
        <v>940</v>
      </c>
    </row>
  </sheetData>
  <mergeCells count="4">
    <mergeCell ref="B2:H2"/>
    <mergeCell ref="B3:I3"/>
    <mergeCell ref="B13:I13"/>
    <mergeCell ref="B23:I2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8"/>
  <sheetViews>
    <sheetView showGridLines="0" showRowColHeaders="0" tabSelected="1" zoomScaleNormal="100" workbookViewId="0">
      <selection activeCell="G5" sqref="G5"/>
    </sheetView>
  </sheetViews>
  <sheetFormatPr defaultRowHeight="15" x14ac:dyDescent="0.25"/>
  <cols>
    <col min="1" max="1" width="27.5703125" style="24" customWidth="1"/>
    <col min="2" max="2" width="3.5703125" style="7" customWidth="1"/>
    <col min="3" max="3" width="63.7109375" style="7" bestFit="1" customWidth="1"/>
    <col min="4" max="11" width="9.140625" style="7"/>
    <col min="12" max="12" width="6.5703125" style="7" customWidth="1"/>
    <col min="13" max="16384" width="9.140625" style="7"/>
  </cols>
  <sheetData>
    <row r="1" spans="1:17" customFormat="1" ht="19.5" customHeight="1" x14ac:dyDescent="0.25">
      <c r="A1" s="24"/>
    </row>
    <row r="2" spans="1:17" customFormat="1" ht="44.25" customHeight="1" thickBot="1" x14ac:dyDescent="0.75">
      <c r="A2" s="24"/>
      <c r="C2" s="22" t="s">
        <v>323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  <c r="O2" s="18"/>
      <c r="P2" s="18"/>
      <c r="Q2" s="18"/>
    </row>
    <row r="3" spans="1:17" customFormat="1" ht="15.75" thickTop="1" x14ac:dyDescent="0.25">
      <c r="A3" s="24"/>
    </row>
    <row r="4" spans="1:17" ht="16.5" x14ac:dyDescent="0.25">
      <c r="A4" s="25" t="s">
        <v>324</v>
      </c>
    </row>
    <row r="5" spans="1:17" ht="16.5" x14ac:dyDescent="0.3">
      <c r="C5" s="26" t="s">
        <v>325</v>
      </c>
    </row>
    <row r="6" spans="1:17" ht="10.5" customHeight="1" x14ac:dyDescent="0.25"/>
    <row r="7" spans="1:17" ht="9.75" customHeight="1" x14ac:dyDescent="0.25"/>
    <row r="8" spans="1:17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Douglas Alencar</cp:lastModifiedBy>
  <dcterms:created xsi:type="dcterms:W3CDTF">2024-12-19T13:13:10Z</dcterms:created>
  <dcterms:modified xsi:type="dcterms:W3CDTF">2026-07-23T00:16:28Z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